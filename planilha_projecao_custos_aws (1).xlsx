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ção Custos AWS" sheetId="1" r:id="rId5"/>
  </sheets>
  <definedNames/>
  <calcPr/>
</workbook>
</file>

<file path=xl/sharedStrings.xml><?xml version="1.0" encoding="utf-8"?>
<sst xmlns="http://schemas.openxmlformats.org/spreadsheetml/2006/main" count="11" uniqueCount="11">
  <si>
    <t>Projeção de Redução de Custos AWS - Abstergo Industries</t>
  </si>
  <si>
    <t>Responsável: Luciano Siviero | Data: 24 de Maio de 2026</t>
  </si>
  <si>
    <t>Serviço AWS</t>
  </si>
  <si>
    <t>Custo Original Estimado (Mensal)</t>
  </si>
  <si>
    <t>Custo Otimizado Projetado (Mensal)</t>
  </si>
  <si>
    <t>Economia Mensal ($)</t>
  </si>
  <si>
    <t>Economia Estimada (%)</t>
  </si>
  <si>
    <t>Amazon EC2 (Instâncias Spot)</t>
  </si>
  <si>
    <t>Amazon S3 (Lifecycle para Glacier)</t>
  </si>
  <si>
    <t>AWS Budgets / Cost Explorer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</si>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</sst>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i/>
      <sz val="11.0"/>
      <color rgb="FF595959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vertical="center"/>
    </xf>
    <xf borderId="4" fillId="4" fontId="5" numFmtId="164" xfId="0" applyAlignment="1" applyBorder="1" applyFont="1" applyNumberFormat="1">
      <alignment horizontal="center" vertical="center"/>
    </xf>
    <xf borderId="4" fillId="4" fontId="5" numFmtId="10" xfId="0" applyAlignment="1" applyBorder="1" applyFont="1" applyNumberForma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4" fillId="5" fontId="5" numFmtId="164" xfId="0" applyAlignment="1" applyBorder="1" applyFont="1" applyNumberFormat="1">
      <alignment horizontal="center" vertical="center"/>
    </xf>
    <xf borderId="4" fillId="5" fontId="5" numFmtId="10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horizontal="left" vertical="center"/>
    </xf>
    <xf borderId="4" fillId="2" fontId="4" numFmtId="164" xfId="0" applyAlignment="1" applyBorder="1" applyFont="1" applyNumberFormat="1">
      <alignment horizontal="center" vertical="center"/>
    </xf>
    <xf borderId="4" fillId="2" fontId="4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30.0"/>
    <col customWidth="1" min="4" max="5" width="22.0"/>
    <col customWidth="1" min="6" max="26" width="8.71"/>
  </cols>
  <sheetData>
    <row r="1" ht="24.0" customHeight="1">
      <c r="A1" s="1" t="s">
        <v>0</v>
      </c>
      <c r="B1" s="2"/>
      <c r="C1" s="2"/>
      <c r="D1" s="2"/>
      <c r="E1" s="3"/>
    </row>
    <row r="2">
      <c r="A2" s="4" t="s">
        <v>1</v>
      </c>
    </row>
    <row r="4" ht="36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6" t="s">
        <v>7</v>
      </c>
      <c r="B5" s="7">
        <v>1200.0</v>
      </c>
      <c r="C5" s="7">
        <v>240.0</v>
      </c>
      <c r="D5" s="7">
        <f t="shared" ref="D5:D7" si="1">B5-C5</f>
        <v>960</v>
      </c>
      <c r="E5" s="8">
        <f t="shared" ref="E5:E7" si="2">D5/B5</f>
        <v>0.8</v>
      </c>
    </row>
    <row r="6">
      <c r="A6" s="9" t="s">
        <v>8</v>
      </c>
      <c r="B6" s="10">
        <v>450.0</v>
      </c>
      <c r="C6" s="10">
        <v>90.0</v>
      </c>
      <c r="D6" s="10">
        <f t="shared" si="1"/>
        <v>360</v>
      </c>
      <c r="E6" s="11">
        <f t="shared" si="2"/>
        <v>0.8</v>
      </c>
    </row>
    <row r="7">
      <c r="A7" s="6" t="s">
        <v>9</v>
      </c>
      <c r="B7" s="7">
        <v>150.0</v>
      </c>
      <c r="C7" s="7">
        <v>105.0</v>
      </c>
      <c r="D7" s="7">
        <f t="shared" si="1"/>
        <v>45</v>
      </c>
      <c r="E7" s="8">
        <f t="shared" si="2"/>
        <v>0.3</v>
      </c>
    </row>
    <row r="8">
      <c r="A8" s="12" t="s">
        <v>10</v>
      </c>
      <c r="B8" s="13">
        <f t="shared" ref="B8:D8" si="3">SUM(B4:B7)</f>
        <v>1800</v>
      </c>
      <c r="C8" s="13">
        <f t="shared" si="3"/>
        <v>435</v>
      </c>
      <c r="D8" s="13">
        <f t="shared" si="3"/>
        <v>1365</v>
      </c>
      <c r="E8" s="14">
        <f>AVERAGE(E4:E7)</f>
        <v>0.6333333333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